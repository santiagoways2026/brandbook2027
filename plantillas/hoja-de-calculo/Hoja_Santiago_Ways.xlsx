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Presupuesto" sheetId="3" state="visible" r:id="rId3"/>
    <sheet xmlns:r="http://schemas.openxmlformats.org/officeDocument/2006/relationships" name="Plan" sheetId="4" state="visible" r:id="rId4"/>
    <sheet xmlns:r="http://schemas.openxmlformats.org/officeDocument/2006/relationships" name="Resumen" sheetId="5" state="visible" r:id="rId5"/>
    <sheet xmlns:r="http://schemas.openxmlformats.org/officeDocument/2006/relationships" name="Colores" sheetId="6" state="visible" r:id="rId6"/>
  </sheets>
  <definedNames>
    <definedName name="_xlnm._FilterDatabase" localSheetId="1" hidden="1">'Datos'!$B$8:$H$13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-#,##0;&quot;-&quot;"/>
    <numFmt numFmtId="165" formatCode="#,##0 &quot;€&quot;;-#,##0 &quot;€&quot;;&quot;-&quot;"/>
    <numFmt numFmtId="166" formatCode="0.0%;-0.0%;&quot;-&quot;"/>
  </numFmts>
  <fonts count="13">
    <font>
      <name val="Montserrat"/>
      <color rgb="002E2E2D"/>
      <sz val="10"/>
    </font>
    <font>
      <name val="Montserrat"/>
      <color rgb="002E2E2D"/>
      <sz val="10"/>
    </font>
    <font>
      <name val="Montserrat"/>
      <b val="1"/>
      <color rgb="00506718"/>
      <sz val="8"/>
    </font>
    <font>
      <name val="Montserrat"/>
      <b val="1"/>
      <color rgb="002E2E2D"/>
      <sz val="24"/>
    </font>
    <font>
      <name val="Montserrat"/>
      <color rgb="006F6F6E"/>
      <sz val="11"/>
    </font>
    <font>
      <name val="Montserrat"/>
      <b val="1"/>
      <color rgb="006F6F6E"/>
      <sz val="7"/>
    </font>
    <font>
      <name val="Montserrat"/>
      <b val="1"/>
      <color rgb="002E2E2D"/>
      <sz val="10"/>
    </font>
    <font>
      <name val="Montserrat"/>
      <color rgb="006F6F6E"/>
      <sz val="10"/>
    </font>
    <font>
      <name val="Montserrat"/>
      <b val="1"/>
      <color rgb="002E2E2D"/>
      <sz val="18"/>
    </font>
    <font>
      <name val="Montserrat"/>
      <b val="1"/>
      <color rgb="002E2E2D"/>
      <sz val="8"/>
    </font>
    <font>
      <name val="Montserrat"/>
      <color rgb="006F6F6E"/>
      <sz val="8"/>
    </font>
    <font>
      <name val="Montserrat"/>
      <color rgb="006F6F6E"/>
      <sz val="9"/>
    </font>
    <font>
      <name val="Montserrat"/>
      <b val="1"/>
      <color rgb="002E2E2D"/>
      <sz val="11"/>
    </font>
  </fonts>
  <fills count="9">
    <fill>
      <patternFill/>
    </fill>
    <fill>
      <patternFill patternType="gray125"/>
    </fill>
    <fill>
      <patternFill patternType="solid">
        <fgColor rgb="00FAFFEE"/>
      </patternFill>
    </fill>
    <fill>
      <patternFill patternType="solid">
        <fgColor rgb="00FFFFFF"/>
      </patternFill>
    </fill>
    <fill>
      <patternFill patternType="solid">
        <fgColor rgb="007AA606"/>
      </patternFill>
    </fill>
    <fill>
      <patternFill patternType="solid">
        <fgColor rgb="00506718"/>
      </patternFill>
    </fill>
    <fill>
      <patternFill patternType="solid">
        <fgColor rgb="002E2E2D"/>
      </patternFill>
    </fill>
    <fill>
      <patternFill patternType="solid">
        <fgColor rgb="006F6F6E"/>
      </patternFill>
    </fill>
    <fill>
      <patternFill patternType="solid">
        <fgColor rgb="00E8E8E6"/>
      </patternFill>
    </fill>
  </fills>
  <borders count="7">
    <border>
      <left/>
      <right/>
      <top/>
      <bottom/>
      <diagonal/>
    </border>
    <border>
      <top style="medium">
        <color rgb="002E2E2D"/>
      </top>
    </border>
    <border>
      <bottom style="thin">
        <color rgb="00E8E8E6"/>
      </bottom>
    </border>
    <border>
      <bottom style="medium">
        <color rgb="002E2E2D"/>
      </bottom>
    </border>
    <border>
      <left style="thin">
        <color rgb="00FFFFFF"/>
      </left>
      <right style="thin">
        <color rgb="00FFFFFF"/>
      </right>
      <bottom style="thin">
        <color rgb="00E8E8E6"/>
      </bottom>
    </border>
    <border>
      <top style="thick">
        <color rgb="007AA606"/>
      </top>
    </border>
    <border>
      <left style="thin">
        <color rgb="00E8E8E6"/>
      </left>
      <right style="thin">
        <color rgb="00E8E8E6"/>
      </right>
      <top style="thin">
        <color rgb="00E8E8E6"/>
      </top>
      <bottom style="thin">
        <color rgb="00E8E8E6"/>
      </bottom>
    </border>
  </borders>
  <cellStyleXfs count="1">
    <xf numFmtId="0" fontId="1" fillId="0" borderId="0"/>
  </cellStyleXfs>
  <cellXfs count="4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1" fillId="2" borderId="0" pivotButton="0" quotePrefix="0" xfId="0"/>
    <xf numFmtId="0" fontId="6" fillId="2" borderId="2" pivotButton="0" quotePrefix="0" xfId="0"/>
    <xf numFmtId="0" fontId="7" fillId="0" borderId="2" pivotButton="0" quotePrefix="0" xfId="0"/>
    <xf numFmtId="0" fontId="0" fillId="0" borderId="2" pivotButton="0" quotePrefix="0" xfId="0"/>
    <xf numFmtId="0" fontId="6" fillId="0" borderId="2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0" borderId="3" applyAlignment="1" pivotButton="0" quotePrefix="0" xfId="0">
      <alignment horizontal="left" vertical="bottom" wrapText="1"/>
    </xf>
    <xf numFmtId="0" fontId="9" fillId="0" borderId="3" applyAlignment="1" pivotButton="0" quotePrefix="0" xfId="0">
      <alignment horizontal="right" vertical="bottom" wrapText="1"/>
    </xf>
    <xf numFmtId="0" fontId="1" fillId="2" borderId="2" applyAlignment="1" pivotButton="0" quotePrefix="0" xfId="0">
      <alignment horizontal="left" vertical="center"/>
    </xf>
    <xf numFmtId="164" fontId="1" fillId="2" borderId="2" applyAlignment="1" pivotButton="0" quotePrefix="0" xfId="0">
      <alignment horizontal="right" vertical="center"/>
    </xf>
    <xf numFmtId="165" fontId="1" fillId="2" borderId="2" applyAlignment="1" pivotButton="0" quotePrefix="0" xfId="0">
      <alignment horizontal="right" vertical="center"/>
    </xf>
    <xf numFmtId="165" fontId="1" fillId="0" borderId="2" applyAlignment="1" pivotButton="0" quotePrefix="0" xfId="0">
      <alignment horizontal="right" vertical="center"/>
    </xf>
    <xf numFmtId="166" fontId="1" fillId="0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10" fillId="0" borderId="0" pivotButton="0" quotePrefix="0" xfId="0"/>
    <xf numFmtId="0" fontId="1" fillId="0" borderId="0" applyAlignment="1" pivotButton="0" quotePrefix="0" xfId="0">
      <alignment horizontal="right"/>
    </xf>
    <xf numFmtId="166" fontId="1" fillId="2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11" fillId="0" borderId="0" pivotButton="0" quotePrefix="0" xfId="0"/>
    <xf numFmtId="0" fontId="9" fillId="0" borderId="3" applyAlignment="1" pivotButton="0" quotePrefix="0" xfId="0">
      <alignment horizontal="center" vertical="bottom" wrapText="1"/>
    </xf>
    <xf numFmtId="1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8" fillId="0" borderId="0" applyAlignment="1" pivotButton="0" quotePrefix="0" xfId="0">
      <alignment horizontal="left" vertical="bottom" wrapText="1"/>
    </xf>
    <xf numFmtId="165" fontId="8" fillId="0" borderId="0" applyAlignment="1" pivotButton="0" quotePrefix="0" xfId="0">
      <alignment horizontal="left" vertical="bottom" wrapText="1"/>
    </xf>
    <xf numFmtId="0" fontId="12" fillId="0" borderId="0" applyAlignment="1" pivotButton="0" quotePrefix="0" xfId="0">
      <alignment horizontal="left" vertical="bottom" wrapText="1"/>
    </xf>
    <xf numFmtId="0" fontId="0" fillId="3" borderId="6" pivotButton="0" quotePrefix="0" xfId="0"/>
    <xf numFmtId="0" fontId="6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4" borderId="6" pivotButton="0" quotePrefix="0" xfId="0"/>
    <xf numFmtId="0" fontId="0" fillId="5" borderId="6" pivotButton="0" quotePrefix="0" xfId="0"/>
    <xf numFmtId="0" fontId="0" fillId="6" borderId="6" pivotButton="0" quotePrefix="0" xfId="0"/>
    <xf numFmtId="0" fontId="0" fillId="7" borderId="6" pivotButton="0" quotePrefix="0" xfId="0"/>
    <xf numFmtId="0" fontId="0" fillId="8" borderId="6" pivotButton="0" quotePrefix="0" xfId="0"/>
    <xf numFmtId="0" fontId="0" fillId="2" borderId="6" pivotButton="0" quotePrefix="0" xfId="0"/>
  </cellXfs>
  <cellStyles count="1">
    <cellStyle name="Normal" xfId="0" builtinId="0" hidden="0"/>
  </cellStyles>
  <dxfs count="2">
    <dxf>
      <fill>
        <patternFill patternType="solid">
          <fgColor rgb="00506718"/>
          <bgColor rgb="00506718"/>
        </patternFill>
      </fill>
    </dxf>
    <dxf>
      <fill>
        <patternFill patternType="solid">
          <fgColor rgb="007AA606"/>
          <bgColor rgb="007AA60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7AA606"/>
            </a:solidFill>
            <a:ln xmlns:a="http://schemas.openxmlformats.org/drawingml/2006/main">
              <a:noFill/>
              <a:prstDash val="solid"/>
            </a:ln>
          </spPr>
          <cat>
            <numRef>
              <f>'Datos'!$B$9:$B$13</f>
            </numRef>
          </cat>
          <val>
            <numRef>
              <f>'Datos'!$G$9:$G$13</f>
            </numRef>
          </val>
        </ser>
        <dLbls>
          <numFmt formatCode="#,##0 &quot;€&quot;"/>
          <txPr>
            <a:bodyPr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2E2E2D"/>
                  </a:solidFill>
                  <a:latin typeface="Montserrat"/>
                </a:defRPr>
              </a:pPr>
              <a:r>
                <a:t/>
              </a:r>
              <a:endParaRPr sz="900" b="1">
                <a:solidFill>
                  <a:srgbClr val="2E2E2D"/>
                </a:solidFill>
                <a:latin typeface="Montserrat"/>
              </a:endParaRPr>
            </a:p>
          </txPr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E8E8E6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2E2E2D"/>
                </a:solidFill>
                <a:latin typeface="Montserrat"/>
              </a:defRPr>
            </a:pPr>
            <a:r>
              <a:t/>
            </a:r>
            <a:endParaRPr sz="900" b="0">
              <a:solidFill>
                <a:srgbClr val="2E2E2D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Santiago Ways</author>
  </authors>
  <commentList>
    <comment ref="C19" authorId="0" shapeId="0">
      <text>
        <t>Porcentaje de descuento sobre el subtotal (por ejemplo, 5 %). Déjalo en 0 si no hay descuento.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5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90750" cy="352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1619250" cy="25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619250" cy="25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1619250" cy="25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12</row>
      <rowOff>0</rowOff>
    </from>
    <ext cx="79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</row>
      <rowOff>0</rowOff>
    </from>
    <ext cx="1619250" cy="257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1619250" cy="25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9:E20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2" ht="34" customHeight="1"/>
    <row r="3" ht="20" customHeight="1"/>
    <row r="4" ht="20" customHeight="1"/>
    <row r="5" ht="20" customHeight="1"/>
    <row r="6" ht="20" customHeight="1"/>
    <row r="7" ht="20" customHeight="1"/>
    <row r="9">
      <c r="B9" s="1" t="inlineStr">
        <is>
          <t>HOJA DE CÁLCULO · 2027</t>
        </is>
      </c>
    </row>
    <row r="10" ht="40" customHeight="1">
      <c r="B10" s="2" t="inlineStr">
        <is>
          <t>Título del archivo</t>
        </is>
      </c>
    </row>
    <row r="11">
      <c r="B11" s="3" t="inlineStr">
        <is>
          <t>Descripción breve de para qué sirve esta hoja.</t>
        </is>
      </c>
    </row>
    <row r="12" ht="24" customHeight="1"/>
    <row r="13">
      <c r="B13" s="4" t="inlineStr">
        <is>
          <t>AUTOR</t>
        </is>
      </c>
      <c r="C13" s="4" t="inlineStr">
        <is>
          <t>ÁREA</t>
        </is>
      </c>
      <c r="D13" s="4" t="inlineStr">
        <is>
          <t>FECHA</t>
        </is>
      </c>
      <c r="E13" s="4" t="inlineStr">
        <is>
          <t>VERSIÓN</t>
        </is>
      </c>
    </row>
    <row r="14">
      <c r="B14" s="5" t="inlineStr">
        <is>
          <t>Nombre Apellido</t>
        </is>
      </c>
      <c r="C14" s="5" t="inlineStr">
        <is>
          <t>Marketing</t>
        </is>
      </c>
      <c r="D14" s="5" t="inlineStr">
        <is>
          <t>dd/mm/aaaa</t>
        </is>
      </c>
      <c r="E14" s="5" t="inlineStr">
        <is>
          <t>1.0</t>
        </is>
      </c>
    </row>
    <row r="15" ht="30" customHeight="1"/>
    <row r="16">
      <c r="B16" s="1" t="inlineStr">
        <is>
          <t>CÓMO USAR ESTA PLANTILLA</t>
        </is>
      </c>
    </row>
    <row r="17" ht="22" customHeight="1">
      <c r="B17" s="6" t="inlineStr">
        <is>
          <t>Celdas en verde claro</t>
        </is>
      </c>
      <c r="C17" s="7" t="inlineStr">
        <is>
          <t>Son las que se rellenan o se cambian. El resto se calcula solo.</t>
        </is>
      </c>
      <c r="D17" s="8" t="n"/>
      <c r="E17" s="8" t="n"/>
    </row>
    <row r="18" ht="22" customHeight="1">
      <c r="B18" s="9" t="inlineStr">
        <is>
          <t>Pestañas de ejemplo</t>
        </is>
      </c>
      <c r="C18" s="7" t="inlineStr">
        <is>
          <t>Datos, Presupuesto, Plan y Resumen. Duplica la que necesites y borra las demás.</t>
        </is>
      </c>
      <c r="D18" s="8" t="n"/>
      <c r="E18" s="8" t="n"/>
    </row>
    <row r="19" ht="22" customHeight="1">
      <c r="B19" s="9" t="inlineStr">
        <is>
          <t>Cifras</t>
        </is>
      </c>
      <c r="C19" s="7" t="inlineStr">
        <is>
          <t>Los datos de ejemplo son inventados: sustitúyelos por los reales.</t>
        </is>
      </c>
      <c r="D19" s="8" t="n"/>
      <c r="E19" s="8" t="n"/>
    </row>
    <row r="20" ht="22" customHeight="1">
      <c r="B20" s="9" t="inlineStr">
        <is>
          <t>Colores</t>
        </is>
      </c>
      <c r="C20" s="7" t="inlineStr">
        <is>
          <t>En la pestaña Colores están los de la marca para gráficos y resaltados.</t>
        </is>
      </c>
      <c r="D20" s="8" t="n"/>
      <c r="E20" s="8" t="n"/>
    </row>
  </sheetData>
  <mergeCells count="4">
    <mergeCell ref="C18:E18"/>
    <mergeCell ref="C20:E20"/>
    <mergeCell ref="C17:E17"/>
    <mergeCell ref="C19:E19"/>
  </mergeCells>
  <pageMargins left="0.5" right="0.5" top="0.6" bottom="0.6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4:H16"/>
  <sheetViews>
    <sheetView showGridLines="0" zoomScale="10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11" customWidth="1" min="3" max="3"/>
    <col width="11" customWidth="1" min="4" max="4"/>
    <col width="16" customWidth="1" min="5" max="5"/>
    <col width="13" customWidth="1" min="6" max="6"/>
    <col width="16" customWidth="1" min="7" max="7"/>
    <col width="13" customWidth="1" min="8" max="8"/>
    <col width="3" customWidth="1" min="9" max="9"/>
  </cols>
  <sheetData>
    <row r="1" ht="14" customHeight="1"/>
    <row r="2" ht="26" customHeight="1"/>
    <row r="3" ht="14" customHeight="1"/>
    <row r="4">
      <c r="B4" s="1" t="inlineStr">
        <is>
          <t>DATOS · EJEMPLO</t>
        </is>
      </c>
    </row>
    <row r="5" ht="30" customHeight="1">
      <c r="B5" s="10" t="inlineStr">
        <is>
          <t>Reservas por ruta</t>
        </is>
      </c>
    </row>
    <row r="6">
      <c r="B6" s="11" t="inlineStr">
        <is>
          <t>Tabla de datos con totales y porcentajes calculados. Datos de ejemplo.</t>
        </is>
      </c>
    </row>
    <row r="7" ht="10" customHeight="1"/>
    <row r="8" ht="30" customHeight="1">
      <c r="B8" s="12" t="inlineStr">
        <is>
          <t>RUTA</t>
        </is>
      </c>
      <c r="C8" s="13" t="inlineStr">
        <is>
          <t>ETAPAS</t>
        </is>
      </c>
      <c r="D8" s="13" t="inlineStr">
        <is>
          <t>KM</t>
        </is>
      </c>
      <c r="E8" s="13" t="inlineStr">
        <is>
          <t>PRECIO DESDE</t>
        </is>
      </c>
      <c r="F8" s="13" t="inlineStr">
        <is>
          <t>RESERVAS</t>
        </is>
      </c>
      <c r="G8" s="13" t="inlineStr">
        <is>
          <t>INGRESOS</t>
        </is>
      </c>
      <c r="H8" s="13" t="inlineStr">
        <is>
          <t>% DEL TOTAL</t>
        </is>
      </c>
    </row>
    <row r="9" ht="22" customHeight="1">
      <c r="B9" s="14" t="inlineStr">
        <is>
          <t>Camino Francés desde Sarria</t>
        </is>
      </c>
      <c r="C9" s="15" t="n">
        <v>5</v>
      </c>
      <c r="D9" s="15" t="n">
        <v>115</v>
      </c>
      <c r="E9" s="16" t="n">
        <v>695</v>
      </c>
      <c r="F9" s="15" t="n">
        <v>420</v>
      </c>
      <c r="G9" s="17">
        <f>E9*F9</f>
        <v/>
      </c>
      <c r="H9" s="18">
        <f>IF($G$14=0,0,G9/$G$14)</f>
        <v/>
      </c>
    </row>
    <row r="10" ht="22" customHeight="1">
      <c r="B10" s="14" t="inlineStr">
        <is>
          <t>Camino Portugués desde Tui</t>
        </is>
      </c>
      <c r="C10" s="15" t="n">
        <v>6</v>
      </c>
      <c r="D10" s="15" t="n">
        <v>118</v>
      </c>
      <c r="E10" s="16" t="n">
        <v>725</v>
      </c>
      <c r="F10" s="15" t="n">
        <v>260</v>
      </c>
      <c r="G10" s="17">
        <f>E10*F10</f>
        <v/>
      </c>
      <c r="H10" s="18">
        <f>IF($G$14=0,0,G10/$G$14)</f>
        <v/>
      </c>
    </row>
    <row r="11" ht="22" customHeight="1">
      <c r="B11" s="14" t="inlineStr">
        <is>
          <t>Camino Inglés desde Ferrol</t>
        </is>
      </c>
      <c r="C11" s="15" t="n">
        <v>5</v>
      </c>
      <c r="D11" s="15" t="n">
        <v>113</v>
      </c>
      <c r="E11" s="16" t="n">
        <v>680</v>
      </c>
      <c r="F11" s="15" t="n">
        <v>95</v>
      </c>
      <c r="G11" s="17">
        <f>E11*F11</f>
        <v/>
      </c>
      <c r="H11" s="18">
        <f>IF($G$14=0,0,G11/$G$14)</f>
        <v/>
      </c>
    </row>
    <row r="12" ht="22" customHeight="1">
      <c r="B12" s="14" t="inlineStr">
        <is>
          <t>Camino del Norte desde Ribadeo</t>
        </is>
      </c>
      <c r="C12" s="15" t="n">
        <v>8</v>
      </c>
      <c r="D12" s="15" t="n">
        <v>193</v>
      </c>
      <c r="E12" s="16" t="n">
        <v>1050</v>
      </c>
      <c r="F12" s="15" t="n">
        <v>70</v>
      </c>
      <c r="G12" s="17">
        <f>E12*F12</f>
        <v/>
      </c>
      <c r="H12" s="18">
        <f>IF($G$14=0,0,G12/$G$14)</f>
        <v/>
      </c>
    </row>
    <row r="13" ht="22" customHeight="1">
      <c r="B13" s="14" t="inlineStr">
        <is>
          <t>Camino Primitivo desde Lugo</t>
        </is>
      </c>
      <c r="C13" s="15" t="n">
        <v>5</v>
      </c>
      <c r="D13" s="15" t="n">
        <v>100</v>
      </c>
      <c r="E13" s="16" t="n">
        <v>710</v>
      </c>
      <c r="F13" s="15" t="n">
        <v>55</v>
      </c>
      <c r="G13" s="17">
        <f>E13*F13</f>
        <v/>
      </c>
      <c r="H13" s="18">
        <f>IF($G$14=0,0,G13/$G$14)</f>
        <v/>
      </c>
    </row>
    <row r="14" ht="24" customHeight="1">
      <c r="B14" s="19" t="inlineStr">
        <is>
          <t>Total</t>
        </is>
      </c>
      <c r="C14" s="19" t="n"/>
      <c r="D14" s="19" t="n"/>
      <c r="E14" s="19" t="n"/>
      <c r="F14" s="20">
        <f>SUM(F9:F13)</f>
        <v/>
      </c>
      <c r="G14" s="21">
        <f>SUM(G9:G13)</f>
        <v/>
      </c>
      <c r="H14" s="22">
        <f>SUM(H9:H13)</f>
        <v/>
      </c>
    </row>
    <row r="16">
      <c r="B16" s="23" t="inlineStr">
        <is>
          <t>Fuente: datos de ejemplo. Precios por persona; ingresos = precio × reservas.</t>
        </is>
      </c>
    </row>
  </sheetData>
  <autoFilter ref="B8:H13"/>
  <pageMargins left="0.5" right="0.5" top="0.6" bottom="0.6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4:E25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5" customWidth="1" min="4" max="4"/>
    <col width="16" customWidth="1" min="5" max="5"/>
    <col width="3" customWidth="1" min="6" max="6"/>
  </cols>
  <sheetData>
    <row r="1" ht="14" customHeight="1"/>
    <row r="2" ht="26" customHeight="1"/>
    <row r="3" ht="14" customHeight="1"/>
    <row r="4">
      <c r="B4" s="1" t="inlineStr">
        <is>
          <t>PRESUPUESTO</t>
        </is>
      </c>
    </row>
    <row r="5" ht="30" customHeight="1">
      <c r="B5" s="10" t="inlineStr">
        <is>
          <t>Presupuesto</t>
        </is>
      </c>
    </row>
    <row r="6">
      <c r="B6" s="11" t="inlineStr">
        <is>
          <t>Conceptos, cantidades e importes. Las celdas en verde claro se rellenan.</t>
        </is>
      </c>
    </row>
    <row r="7" ht="10" customHeight="1"/>
    <row r="8">
      <c r="B8" s="4" t="inlineStr">
        <is>
          <t>CLIENTE</t>
        </is>
      </c>
      <c r="C8" s="4" t="inlineStr">
        <is>
          <t>PRESUPUESTO N.º</t>
        </is>
      </c>
      <c r="D8" s="4" t="inlineStr">
        <is>
          <t>FECHA</t>
        </is>
      </c>
      <c r="E8" s="4" t="inlineStr">
        <is>
          <t>VÁLIDO HASTA</t>
        </is>
      </c>
    </row>
    <row r="9">
      <c r="B9" s="5" t="inlineStr">
        <is>
          <t>Nombre Apellido</t>
        </is>
      </c>
      <c r="C9" s="5" t="inlineStr">
        <is>
          <t>0000</t>
        </is>
      </c>
      <c r="D9" s="5" t="inlineStr">
        <is>
          <t>dd/mm/aaaa</t>
        </is>
      </c>
      <c r="E9" s="5" t="inlineStr">
        <is>
          <t>dd/mm/aaaa</t>
        </is>
      </c>
    </row>
    <row r="10" ht="18" customHeight="1"/>
    <row r="11" ht="30" customHeight="1">
      <c r="B11" s="12" t="inlineStr">
        <is>
          <t>CONCEPTO</t>
        </is>
      </c>
      <c r="C11" s="13" t="inlineStr">
        <is>
          <t>CANTIDAD</t>
        </is>
      </c>
      <c r="D11" s="13" t="inlineStr">
        <is>
          <t>PRECIO</t>
        </is>
      </c>
      <c r="E11" s="13" t="inlineStr">
        <is>
          <t>IMPORTE</t>
        </is>
      </c>
    </row>
    <row r="12" ht="22" customHeight="1">
      <c r="B12" s="14" t="inlineStr">
        <is>
          <t>Camino Francés desde Sarria · 7 días</t>
        </is>
      </c>
      <c r="C12" s="15" t="n">
        <v>2</v>
      </c>
      <c r="D12" s="16" t="n">
        <v>695</v>
      </c>
      <c r="E12" s="17">
        <f>IF(OR(C12="",D12=""),"",C12*D12)</f>
        <v/>
      </c>
    </row>
    <row r="13" ht="22" customHeight="1">
      <c r="B13" s="14" t="inlineStr">
        <is>
          <t>Suplemento habitación individual</t>
        </is>
      </c>
      <c r="C13" s="15" t="n">
        <v>1</v>
      </c>
      <c r="D13" s="16" t="n">
        <v>180</v>
      </c>
      <c r="E13" s="17">
        <f>IF(OR(C13="",D13=""),"",C13*D13)</f>
        <v/>
      </c>
    </row>
    <row r="14" ht="22" customHeight="1">
      <c r="B14" s="14" t="inlineStr">
        <is>
          <t>Cenas en ruta (5 noches)</t>
        </is>
      </c>
      <c r="C14" s="15" t="n">
        <v>2</v>
      </c>
      <c r="D14" s="16" t="n">
        <v>120</v>
      </c>
      <c r="E14" s="17">
        <f>IF(OR(C14="",D14=""),"",C14*D14)</f>
        <v/>
      </c>
    </row>
    <row r="15" ht="22" customHeight="1">
      <c r="B15" s="14" t="inlineStr">
        <is>
          <t>Seguro de cancelación</t>
        </is>
      </c>
      <c r="C15" s="15" t="n">
        <v>2</v>
      </c>
      <c r="D15" s="16" t="n">
        <v>35</v>
      </c>
      <c r="E15" s="17">
        <f>IF(OR(C15="",D15=""),"",C15*D15)</f>
        <v/>
      </c>
    </row>
    <row r="16" ht="22" customHeight="1">
      <c r="B16" s="14" t="n"/>
      <c r="C16" s="15" t="n"/>
      <c r="D16" s="16" t="n"/>
      <c r="E16" s="17">
        <f>IF(OR(C16="",D16=""),"",C16*D16)</f>
        <v/>
      </c>
    </row>
    <row r="17" ht="22" customHeight="1">
      <c r="B17" s="14" t="n"/>
      <c r="C17" s="15" t="n"/>
      <c r="D17" s="16" t="n"/>
      <c r="E17" s="17">
        <f>IF(OR(C17="",D17=""),"",C17*D17)</f>
        <v/>
      </c>
    </row>
    <row r="18">
      <c r="D18" s="24" t="inlineStr">
        <is>
          <t>Subtotal</t>
        </is>
      </c>
      <c r="E18" s="17">
        <f>SUM(E12:E17)</f>
        <v/>
      </c>
    </row>
    <row r="19">
      <c r="C19" s="25" t="n">
        <v>0</v>
      </c>
      <c r="D19" s="24" t="inlineStr">
        <is>
          <t>Descuento</t>
        </is>
      </c>
      <c r="E19" s="17">
        <f>-E18*C19</f>
        <v/>
      </c>
    </row>
    <row r="20" ht="24" customHeight="1">
      <c r="B20" s="19" t="n"/>
      <c r="C20" s="19" t="n"/>
      <c r="D20" s="26" t="inlineStr">
        <is>
          <t>Total</t>
        </is>
      </c>
      <c r="E20" s="21">
        <f>E18+E19</f>
        <v/>
      </c>
    </row>
    <row r="22">
      <c r="B22" s="1" t="inlineStr">
        <is>
          <t>CONDICIONES</t>
        </is>
      </c>
    </row>
    <row r="23">
      <c r="B23" s="27" t="inlineStr">
        <is>
          <t>•  Precios de ejemplo, por persona salvo indicación.</t>
        </is>
      </c>
    </row>
    <row r="24">
      <c r="B24" s="27" t="inlineStr">
        <is>
          <t>•  Lorem ipsum dolor sit amet, consectetur adipiscing elit.</t>
        </is>
      </c>
    </row>
    <row r="25">
      <c r="B25" s="27" t="inlineStr">
        <is>
          <t>•  Integer posuere erat a ante venenatis dapibus.</t>
        </is>
      </c>
    </row>
  </sheetData>
  <pageMargins left="0.5" right="0.5" top="0.6" bottom="0.6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4:R16"/>
  <sheetViews>
    <sheetView showGridLines="0" zoomScale="10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9" customWidth="1" min="4" max="4"/>
    <col width="9" customWidth="1" min="5" max="5"/>
    <col width="12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3" customWidth="1" min="19" max="19"/>
  </cols>
  <sheetData>
    <row r="1" ht="14" customHeight="1"/>
    <row r="2" ht="26" customHeight="1"/>
    <row r="3" ht="14" customHeight="1"/>
    <row r="4">
      <c r="B4" s="1" t="inlineStr">
        <is>
          <t>PLAN DE TRABAJO</t>
        </is>
      </c>
    </row>
    <row r="5" ht="30" customHeight="1">
      <c r="B5" s="10" t="inlineStr">
        <is>
          <t>Plan de trabajo</t>
        </is>
      </c>
    </row>
    <row r="6">
      <c r="B6" s="11" t="inlineStr">
        <is>
          <t>Escribe el mes de inicio y de fin (1 a 12): las barras se pintan solas. Marca «Sí» en Hito para verlo en verde sendero.</t>
        </is>
      </c>
    </row>
    <row r="7" ht="10" customHeight="1"/>
    <row r="8" ht="30" customHeight="1">
      <c r="B8" s="12" t="inlineStr">
        <is>
          <t>TAREA</t>
        </is>
      </c>
      <c r="C8" s="12" t="inlineStr">
        <is>
          <t>RESPONSABLE</t>
        </is>
      </c>
      <c r="D8" s="28" t="inlineStr">
        <is>
          <t>INICIO</t>
        </is>
      </c>
      <c r="E8" s="28" t="inlineStr">
        <is>
          <t>FIN</t>
        </is>
      </c>
      <c r="F8" s="28" t="inlineStr">
        <is>
          <t>HITO</t>
        </is>
      </c>
      <c r="G8" s="28" t="inlineStr">
        <is>
          <t>ENE</t>
        </is>
      </c>
      <c r="H8" s="28" t="inlineStr">
        <is>
          <t>FEB</t>
        </is>
      </c>
      <c r="I8" s="28" t="inlineStr">
        <is>
          <t>MAR</t>
        </is>
      </c>
      <c r="J8" s="28" t="inlineStr">
        <is>
          <t>ABR</t>
        </is>
      </c>
      <c r="K8" s="28" t="inlineStr">
        <is>
          <t>MAY</t>
        </is>
      </c>
      <c r="L8" s="28" t="inlineStr">
        <is>
          <t>JUN</t>
        </is>
      </c>
      <c r="M8" s="28" t="inlineStr">
        <is>
          <t>JUL</t>
        </is>
      </c>
      <c r="N8" s="28" t="inlineStr">
        <is>
          <t>AGO</t>
        </is>
      </c>
      <c r="O8" s="28" t="inlineStr">
        <is>
          <t>SEP</t>
        </is>
      </c>
      <c r="P8" s="28" t="inlineStr">
        <is>
          <t>OCT</t>
        </is>
      </c>
      <c r="Q8" s="28" t="inlineStr">
        <is>
          <t>NOV</t>
        </is>
      </c>
      <c r="R8" s="28" t="inlineStr">
        <is>
          <t>DIC</t>
        </is>
      </c>
    </row>
    <row r="9" ht="22" customHeight="1">
      <c r="B9" s="14" t="inlineStr">
        <is>
          <t>Definición de la campaña</t>
        </is>
      </c>
      <c r="C9" s="14" t="inlineStr">
        <is>
          <t>Nombre Apellido</t>
        </is>
      </c>
      <c r="D9" s="29" t="n">
        <v>1</v>
      </c>
      <c r="E9" s="29" t="n">
        <v>2</v>
      </c>
      <c r="F9" s="30" t="inlineStr">
        <is>
          <t>No</t>
        </is>
      </c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</row>
    <row r="10" ht="22" customHeight="1">
      <c r="B10" s="14" t="inlineStr">
        <is>
          <t>Producción de contenidos</t>
        </is>
      </c>
      <c r="C10" s="14" t="inlineStr">
        <is>
          <t>Nombre Apellido</t>
        </is>
      </c>
      <c r="D10" s="29" t="n">
        <v>2</v>
      </c>
      <c r="E10" s="29" t="n">
        <v>4</v>
      </c>
      <c r="F10" s="30" t="inlineStr">
        <is>
          <t>No</t>
        </is>
      </c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</row>
    <row r="11" ht="22" customHeight="1">
      <c r="B11" s="14" t="inlineStr">
        <is>
          <t>Lanzamiento</t>
        </is>
      </c>
      <c r="C11" s="14" t="inlineStr">
        <is>
          <t>Nombre Apellido</t>
        </is>
      </c>
      <c r="D11" s="29" t="n">
        <v>4</v>
      </c>
      <c r="E11" s="29" t="n">
        <v>4</v>
      </c>
      <c r="F11" s="30" t="inlineStr">
        <is>
          <t>Sí</t>
        </is>
      </c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</row>
    <row r="12" ht="22" customHeight="1">
      <c r="B12" s="14" t="inlineStr">
        <is>
          <t>Campaña en redes</t>
        </is>
      </c>
      <c r="C12" s="14" t="inlineStr">
        <is>
          <t>Nombre Apellido</t>
        </is>
      </c>
      <c r="D12" s="29" t="n">
        <v>4</v>
      </c>
      <c r="E12" s="29" t="n">
        <v>9</v>
      </c>
      <c r="F12" s="30" t="inlineStr">
        <is>
          <t>No</t>
        </is>
      </c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</row>
    <row r="13" ht="22" customHeight="1">
      <c r="B13" s="14" t="inlineStr">
        <is>
          <t>Medición y ajustes</t>
        </is>
      </c>
      <c r="C13" s="14" t="inlineStr">
        <is>
          <t>Nombre Apellido</t>
        </is>
      </c>
      <c r="D13" s="29" t="n">
        <v>6</v>
      </c>
      <c r="E13" s="29" t="n">
        <v>11</v>
      </c>
      <c r="F13" s="30" t="inlineStr">
        <is>
          <t>No</t>
        </is>
      </c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</row>
    <row r="14" ht="22" customHeight="1">
      <c r="B14" s="14" t="inlineStr">
        <is>
          <t>Informe final</t>
        </is>
      </c>
      <c r="C14" s="14" t="inlineStr">
        <is>
          <t>Nombre Apellido</t>
        </is>
      </c>
      <c r="D14" s="29" t="n">
        <v>12</v>
      </c>
      <c r="E14" s="29" t="n">
        <v>12</v>
      </c>
      <c r="F14" s="30" t="inlineStr">
        <is>
          <t>Sí</t>
        </is>
      </c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</row>
    <row r="15" ht="22" customHeight="1">
      <c r="B15" s="14" t="n"/>
      <c r="C15" s="14" t="n"/>
      <c r="D15" s="29" t="n"/>
      <c r="E15" s="29" t="n"/>
      <c r="F15" s="30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</row>
    <row r="16" ht="22" customHeight="1">
      <c r="B16" s="14" t="n"/>
      <c r="C16" s="14" t="n"/>
      <c r="D16" s="29" t="n"/>
      <c r="E16" s="29" t="n"/>
      <c r="F16" s="30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</row>
  </sheetData>
  <conditionalFormatting sqref="G9:R16">
    <cfRule type="expression" priority="1" dxfId="0" stopIfTrue="1">
      <formula>AND($D9&lt;&gt;"",$E9&lt;&gt;"",COLUMN()-6&gt;=$D9,COLUMN()-6&lt;=$E9,$F9="Sí")</formula>
    </cfRule>
    <cfRule type="expression" priority="2" dxfId="1">
      <formula>AND($D9&lt;&gt;"",$E9&lt;&gt;"",COLUMN()-6&gt;=$D9,COLUMN()-6&lt;=$E9)</formula>
    </cfRule>
  </conditionalFormatting>
  <dataValidations count="2">
    <dataValidation sqref="F9:F16" showDropDown="0" showInputMessage="0" showErrorMessage="0" allowBlank="1" type="list">
      <formula1>"Sí,No"</formula1>
    </dataValidation>
    <dataValidation sqref="D9:E16" showDropDown="0" showInputMessage="0" showErrorMessage="0" allowBlank="1" type="whole" operator="between">
      <formula1>1</formula1>
      <formula2>12</formula2>
    </dataValidation>
  </dataValidations>
  <pageMargins left="0.5" right="0.5" top="0.6" bottom="0.6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4:H12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" customWidth="1" min="3" max="3"/>
    <col width="24" customWidth="1" min="4" max="4"/>
    <col width="3" customWidth="1" min="5" max="5"/>
    <col width="24" customWidth="1" min="6" max="6"/>
    <col width="3" customWidth="1" min="7" max="7"/>
    <col width="24" customWidth="1" min="8" max="8"/>
    <col width="3" customWidth="1" min="9" max="9"/>
  </cols>
  <sheetData>
    <row r="1" ht="14" customHeight="1"/>
    <row r="2" ht="26" customHeight="1"/>
    <row r="3" ht="14" customHeight="1"/>
    <row r="4">
      <c r="B4" s="1" t="inlineStr">
        <is>
          <t>RESUMEN</t>
        </is>
      </c>
    </row>
    <row r="5" ht="30" customHeight="1">
      <c r="B5" s="10" t="inlineStr">
        <is>
          <t>Cifras clave</t>
        </is>
      </c>
    </row>
    <row r="6">
      <c r="B6" s="11" t="inlineStr">
        <is>
          <t>Se calcula a partir de la pestaña Datos. No hay que rellenar nada.</t>
        </is>
      </c>
    </row>
    <row r="7" ht="10" customHeight="1"/>
    <row r="8">
      <c r="B8" s="32" t="n"/>
      <c r="D8" s="32" t="n"/>
      <c r="F8" s="32" t="n"/>
      <c r="H8" s="32" t="n"/>
    </row>
    <row r="9" ht="34" customHeight="1">
      <c r="B9" s="33">
        <f>Datos!F14</f>
        <v/>
      </c>
      <c r="D9" s="34">
        <f>Datos!G14</f>
        <v/>
      </c>
      <c r="F9" s="34">
        <f>IF(Datos!F14=0,0,Datos!G14/Datos!F14)</f>
        <v/>
      </c>
      <c r="H9" s="35">
        <f>INDEX(Datos!B9:B13,MATCH(MAX(Datos!F9:F13),Datos!F9:F13,0))</f>
        <v/>
      </c>
    </row>
    <row r="10">
      <c r="B10" s="27" t="inlineStr">
        <is>
          <t>Reservas</t>
        </is>
      </c>
      <c r="D10" s="27" t="inlineStr">
        <is>
          <t>Ingresos</t>
        </is>
      </c>
      <c r="F10" s="27" t="inlineStr">
        <is>
          <t>Ticket medio</t>
        </is>
      </c>
      <c r="H10" s="27" t="inlineStr">
        <is>
          <t>Ruta con más reservas</t>
        </is>
      </c>
    </row>
    <row r="12">
      <c r="B12" s="1" t="inlineStr">
        <is>
          <t>INGRESOS POR RUTA</t>
        </is>
      </c>
    </row>
  </sheetData>
  <pageMargins left="0.5" right="0.5" top="0.6" bottom="0.6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4:E15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52" customWidth="1" min="5" max="5"/>
    <col width="3" customWidth="1" min="6" max="6"/>
  </cols>
  <sheetData>
    <row r="1" ht="14" customHeight="1"/>
    <row r="2" ht="26" customHeight="1"/>
    <row r="3" ht="14" customHeight="1"/>
    <row r="4">
      <c r="B4" s="1" t="inlineStr">
        <is>
          <t>MARCA</t>
        </is>
      </c>
    </row>
    <row r="5" ht="30" customHeight="1">
      <c r="B5" s="10" t="inlineStr">
        <is>
          <t>Colores de la marca</t>
        </is>
      </c>
    </row>
    <row r="6">
      <c r="B6" s="11" t="inlineStr">
        <is>
          <t>Úsalos en gráficos, cabeceras y resaltados. El verde Ways nunca como color de texto sobre blanco.</t>
        </is>
      </c>
    </row>
    <row r="7" ht="10" customHeight="1"/>
    <row r="8" ht="30" customHeight="1">
      <c r="B8" s="12" t="inlineStr"/>
      <c r="C8" s="12" t="inlineStr">
        <is>
          <t>COLOR</t>
        </is>
      </c>
      <c r="D8" s="12" t="inlineStr">
        <is>
          <t>HEX</t>
        </is>
      </c>
      <c r="E8" s="12" t="inlineStr">
        <is>
          <t>USO</t>
        </is>
      </c>
    </row>
    <row r="9" ht="24" customHeight="1">
      <c r="B9" s="36" t="n"/>
      <c r="C9" s="37" t="inlineStr">
        <is>
          <t>Blanco</t>
        </is>
      </c>
      <c r="D9" s="38" t="inlineStr">
        <is>
          <t>#FFFFFF</t>
        </is>
      </c>
      <c r="E9" s="39" t="inlineStr">
        <is>
          <t>El fondo principal.</t>
        </is>
      </c>
    </row>
    <row r="10" ht="24" customHeight="1">
      <c r="B10" s="40" t="n"/>
      <c r="C10" s="37" t="inlineStr">
        <is>
          <t>Verde Ways</t>
        </is>
      </c>
      <c r="D10" s="38" t="inlineStr">
        <is>
          <t>#7AA606</t>
        </is>
      </c>
      <c r="E10" s="39" t="inlineStr">
        <is>
          <t>Barras de gráficos, filetes y acentos.</t>
        </is>
      </c>
    </row>
    <row r="11" ht="24" customHeight="1">
      <c r="B11" s="41" t="n"/>
      <c r="C11" s="37" t="inlineStr">
        <is>
          <t>Verde sendero</t>
        </is>
      </c>
      <c r="D11" s="38" t="inlineStr">
        <is>
          <t>#506718</t>
        </is>
      </c>
      <c r="E11" s="39" t="inlineStr">
        <is>
          <t>Resaltar un dato o una serie; antetítulos.</t>
        </is>
      </c>
    </row>
    <row r="12" ht="24" customHeight="1">
      <c r="B12" s="42" t="n"/>
      <c r="C12" s="37" t="inlineStr">
        <is>
          <t>Grafito</t>
        </is>
      </c>
      <c r="D12" s="38" t="inlineStr">
        <is>
          <t>#2E2E2D</t>
        </is>
      </c>
      <c r="E12" s="39" t="inlineStr">
        <is>
          <t>Texto principal y cabeceras de tabla.</t>
        </is>
      </c>
    </row>
    <row r="13" ht="24" customHeight="1">
      <c r="B13" s="43" t="n"/>
      <c r="C13" s="37" t="inlineStr">
        <is>
          <t>Gris</t>
        </is>
      </c>
      <c r="D13" s="38" t="inlineStr">
        <is>
          <t>#6F6F6E</t>
        </is>
      </c>
      <c r="E13" s="39" t="inlineStr">
        <is>
          <t>Textos secundarios y notas.</t>
        </is>
      </c>
    </row>
    <row r="14" ht="24" customHeight="1">
      <c r="B14" s="44" t="n"/>
      <c r="C14" s="37" t="inlineStr">
        <is>
          <t>Niebla</t>
        </is>
      </c>
      <c r="D14" s="38" t="inlineStr">
        <is>
          <t>#E8E8E6</t>
        </is>
      </c>
      <c r="E14" s="39" t="inlineStr">
        <is>
          <t>Líneas finas entre filas.</t>
        </is>
      </c>
    </row>
    <row r="15" ht="24" customHeight="1">
      <c r="B15" s="45" t="n"/>
      <c r="C15" s="37" t="inlineStr">
        <is>
          <t>Brote</t>
        </is>
      </c>
      <c r="D15" s="38" t="inlineStr">
        <is>
          <t>#FAFFEE</t>
        </is>
      </c>
      <c r="E15" s="39" t="inlineStr">
        <is>
          <t>Celdas para rellenar.</t>
        </is>
      </c>
    </row>
  </sheetData>
  <pageMargins left="0.5" right="0.5" top="0.6" bottom="0.6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2026-10-20T08:01:53Z</dcterms:created>
  <dcterms:modified xmlns:dcterms="http://purl.org/dc/terms/" xmlns:xsi="http://www.w3.org/2001/XMLSchema-instance" xsi:type="dcterms:W3CDTF">2026-10-20T08:01:53Z</dcterms:modified>
</cp:coreProperties>
</file>